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te A" sheetId="3" state="visible" r:id="rId3"/>
    <sheet xmlns:r="http://schemas.openxmlformats.org/officeDocument/2006/relationships" name="Site B" sheetId="4" state="visible" r:id="rId4"/>
    <sheet xmlns:r="http://schemas.openxmlformats.org/officeDocument/2006/relationships" name="Site C" sheetId="5" state="visible" r:id="rId5"/>
    <sheet xmlns:r="http://schemas.openxmlformats.org/officeDocument/2006/relationships" name="Site D" sheetId="6" state="visible" r:id="rId6"/>
    <sheet xmlns:r="http://schemas.openxmlformats.org/officeDocument/2006/relationships" name="Site E" sheetId="7" state="visible" r:id="rId7"/>
    <sheet xmlns:r="http://schemas.openxmlformats.org/officeDocument/2006/relationships" name="Site F" sheetId="8" state="visible" r:id="rId8"/>
    <sheet xmlns:r="http://schemas.openxmlformats.org/officeDocument/2006/relationships" name="Change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2A541"/>
      </patternFill>
    </fill>
    <fill>
      <patternFill patternType="solid">
        <f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Shared_Capex_Tracker_2569.xlsx (ข้อมูลสมมติ)</t>
        </is>
      </c>
    </row>
    <row r="2">
      <c r="A2" t="inlineStr">
        <is>
          <t>ไฟล์นี้หลายคนแก้พร้อมกันบน SharePoint: PM แต่ละไซต์แก้เฉพาะแท็บของตัวเอง, Finance แก้คอลัมน์ Spent_Confirmed</t>
        </is>
      </c>
    </row>
    <row r="3">
      <c r="A3" t="inlineStr">
        <is>
          <t>แท็บ Summary คำนวณด้วยสูตร ห้ามพิมพ์ทับ</t>
        </is>
      </c>
    </row>
    <row r="4">
      <c r="A4" s="2" t="inlineStr">
        <is>
          <t>กฎ: ก่อนให้ Claude แก้ไฟล์นี้ ให้ทำสำเนาก่อนเสมอ (copy-before-write) แล้วตรวจก่อนบันทึก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6" customWidth="1" min="4" max="4"/>
    <col width="15" customWidth="1" min="5" max="5"/>
    <col width="15" customWidth="1" min="6" max="6"/>
  </cols>
  <sheetData>
    <row r="1">
      <c r="A1" s="3" t="inlineStr">
        <is>
          <t>Site</t>
        </is>
      </c>
      <c r="B1" s="3" t="inlineStr">
        <is>
          <t>SiteName</t>
        </is>
      </c>
      <c r="C1" s="3" t="inlineStr">
        <is>
          <t>Budget_MTHB</t>
        </is>
      </c>
      <c r="D1" s="3" t="inlineStr">
        <is>
          <t>Spent_Confirmed</t>
        </is>
      </c>
      <c r="E1" s="3" t="inlineStr">
        <is>
          <t>Forecast_MTHB</t>
        </is>
      </c>
      <c r="F1" s="3" t="inlineStr">
        <is>
          <t>Variance_MTHB</t>
        </is>
      </c>
    </row>
    <row r="2">
      <c r="A2" t="inlineStr">
        <is>
          <t>Site A</t>
        </is>
      </c>
      <c r="B2" t="inlineStr">
        <is>
          <t>เหมืองสมมติ ภูผาทอง</t>
        </is>
      </c>
      <c r="C2">
        <f>'Site A'!C4</f>
        <v/>
      </c>
      <c r="D2">
        <f>'Site A'!E4</f>
        <v/>
      </c>
      <c r="E2">
        <f>'Site A'!F4</f>
        <v/>
      </c>
      <c r="F2">
        <f>'Site A'!G4</f>
        <v/>
      </c>
    </row>
    <row r="3">
      <c r="A3" t="inlineStr">
        <is>
          <t>Site B</t>
        </is>
      </c>
      <c r="B3" t="inlineStr">
        <is>
          <t>เหมืองสมมติ ดอยหินดำ</t>
        </is>
      </c>
      <c r="C3">
        <f>'Site B'!C4</f>
        <v/>
      </c>
      <c r="D3">
        <f>'Site B'!E4</f>
        <v/>
      </c>
      <c r="E3">
        <f>'Site B'!F4</f>
        <v/>
      </c>
      <c r="F3">
        <f>'Site B'!G4</f>
        <v/>
      </c>
    </row>
    <row r="4">
      <c r="A4" t="inlineStr">
        <is>
          <t>Site C</t>
        </is>
      </c>
      <c r="B4" t="inlineStr">
        <is>
          <t>เหมืองสมมติ ผาแดง</t>
        </is>
      </c>
      <c r="C4">
        <f>'Site C'!C4</f>
        <v/>
      </c>
      <c r="D4">
        <f>'Site C'!E4</f>
        <v/>
      </c>
      <c r="E4">
        <f>'Site C'!F4</f>
        <v/>
      </c>
      <c r="F4">
        <f>'Site C'!G4</f>
        <v/>
      </c>
    </row>
    <row r="5">
      <c r="A5" t="inlineStr">
        <is>
          <t>Site D</t>
        </is>
      </c>
      <c r="B5" t="inlineStr">
        <is>
          <t>โรงไฟฟ้าสมมติ ลำน้ำใส</t>
        </is>
      </c>
      <c r="C5">
        <f>'Site D'!C4</f>
        <v/>
      </c>
      <c r="D5">
        <f>'Site D'!E4</f>
        <v/>
      </c>
      <c r="E5">
        <f>'Site D'!F4</f>
        <v/>
      </c>
      <c r="F5">
        <f>'Site D'!G4</f>
        <v/>
      </c>
    </row>
    <row r="6">
      <c r="A6" t="inlineStr">
        <is>
          <t>Site E</t>
        </is>
      </c>
      <c r="B6" t="inlineStr">
        <is>
          <t>โรงไฟฟ้าสมมติ ทุ่งทอง</t>
        </is>
      </c>
      <c r="C6">
        <f>'Site E'!C3</f>
        <v/>
      </c>
      <c r="D6">
        <f>'Site E'!E3</f>
        <v/>
      </c>
      <c r="E6">
        <f>'Site E'!F3</f>
        <v/>
      </c>
      <c r="F6">
        <f>'Site E'!G3</f>
        <v/>
      </c>
    </row>
    <row r="7">
      <c r="A7" t="inlineStr">
        <is>
          <t>Site F</t>
        </is>
      </c>
      <c r="B7" t="inlineStr">
        <is>
          <t>ฟาร์มโซลาร์สมมติ แสงตะวัน</t>
        </is>
      </c>
      <c r="C7">
        <f>'Site F'!C5</f>
        <v/>
      </c>
      <c r="D7">
        <f>'Site F'!E5</f>
        <v/>
      </c>
      <c r="E7">
        <f>'Site F'!F5</f>
        <v/>
      </c>
      <c r="F7">
        <f>'Site F'!G5</f>
        <v/>
      </c>
    </row>
    <row r="8">
      <c r="A8" s="4" t="inlineStr">
        <is>
          <t>รวมทุกไซต์</t>
        </is>
      </c>
      <c r="B8" s="4" t="inlineStr"/>
      <c r="C8" s="4">
        <f>SUM(C2:C7)</f>
        <v/>
      </c>
      <c r="D8" s="4">
        <f>SUM(D2:D7)</f>
        <v/>
      </c>
      <c r="E8" s="4">
        <f>SUM(E2:E7)</f>
        <v/>
      </c>
      <c r="F8" s="4">
        <f>SUM(F2:F7)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3" customWidth="1" min="3" max="3"/>
    <col width="11" customWidth="1" min="4" max="4"/>
    <col width="16" customWidth="1" min="5" max="5"/>
    <col width="15" customWidth="1" min="6" max="6"/>
    <col width="15" customWidth="1" min="7" max="7"/>
    <col width="12" customWidth="1" min="8" max="8"/>
    <col width="18" customWidth="1" min="9" max="9"/>
    <col width="24" customWidth="1" min="10" max="10"/>
  </cols>
  <sheetData>
    <row r="1">
      <c r="A1" s="3" t="inlineStr">
        <is>
          <t>ProjectID</t>
        </is>
      </c>
      <c r="B1" s="3" t="inlineStr">
        <is>
          <t>Title</t>
        </is>
      </c>
      <c r="C1" s="3" t="inlineStr">
        <is>
          <t>Budget_MTHB</t>
        </is>
      </c>
      <c r="D1" s="3" t="inlineStr">
        <is>
          <t>Spent_PM</t>
        </is>
      </c>
      <c r="E1" s="3" t="inlineStr">
        <is>
          <t>Spent_Confirmed</t>
        </is>
      </c>
      <c r="F1" s="3" t="inlineStr">
        <is>
          <t>Forecast_MTHB</t>
        </is>
      </c>
      <c r="G1" s="3" t="inlineStr">
        <is>
          <t>Variance_MTHB</t>
        </is>
      </c>
      <c r="H1" s="3" t="inlineStr">
        <is>
          <t>Status</t>
        </is>
      </c>
      <c r="I1" s="3" t="inlineStr">
        <is>
          <t>LastEditedBy</t>
        </is>
      </c>
      <c r="J1" s="3" t="inlineStr">
        <is>
          <t>Note</t>
        </is>
      </c>
    </row>
    <row r="2">
      <c r="A2" t="inlineStr">
        <is>
          <t>PRJ-101</t>
        </is>
      </c>
      <c r="B2" t="inlineStr">
        <is>
          <t>เปลี่ยนสายพานลำเลียง CV-03</t>
        </is>
      </c>
      <c r="C2" t="n">
        <v>48</v>
      </c>
      <c r="D2" t="n">
        <v>25.6</v>
      </c>
      <c r="E2" t="n">
        <v>24.9</v>
      </c>
      <c r="F2" t="n">
        <v>52.3</v>
      </c>
      <c r="G2">
        <f>F2-C2</f>
        <v/>
      </c>
      <c r="H2" t="inlineStr">
        <is>
          <t>On track</t>
        </is>
      </c>
      <c r="I2" t="inlineStr">
        <is>
          <t>สมศักดิ์ ทดสอบ</t>
        </is>
      </c>
      <c r="J2" t="inlineStr"/>
    </row>
    <row r="3">
      <c r="A3" t="inlineStr">
        <is>
          <t>PRJ-102</t>
        </is>
      </c>
      <c r="B3" t="inlineStr">
        <is>
          <t>ติดตั้งระบบตรวจฝุ่นออนไลน์</t>
        </is>
      </c>
      <c r="C3" t="n">
        <v>12.5</v>
      </c>
      <c r="D3" t="n">
        <v>10.4</v>
      </c>
      <c r="E3" t="n">
        <v>10.2</v>
      </c>
      <c r="F3" t="n">
        <v>13.6</v>
      </c>
      <c r="G3">
        <f>F3-C3</f>
        <v/>
      </c>
      <c r="H3" t="inlineStr">
        <is>
          <t>At risk</t>
        </is>
      </c>
      <c r="I3" t="inlineStr">
        <is>
          <t>สมศักดิ์ ทดสอบ</t>
        </is>
      </c>
      <c r="J3" t="inlineStr"/>
    </row>
    <row r="4">
      <c r="A4" s="4" t="inlineStr">
        <is>
          <t>รวม</t>
        </is>
      </c>
      <c r="B4" s="4" t="inlineStr"/>
      <c r="C4" s="4">
        <f>SUM(C2:C3)</f>
        <v/>
      </c>
      <c r="D4" s="4">
        <f>SUM(D2:D3)</f>
        <v/>
      </c>
      <c r="E4" s="4">
        <f>SUM(E2:E3)</f>
        <v/>
      </c>
      <c r="F4" s="4">
        <f>SUM(F2:F3)</f>
        <v/>
      </c>
      <c r="G4" s="4">
        <f>SUM(G2:G3)</f>
        <v/>
      </c>
      <c r="H4" s="4" t="n"/>
      <c r="I4" s="4" t="n"/>
      <c r="J4" s="4" t="n"/>
    </row>
  </sheetData>
  <dataValidations count="1">
    <dataValidation sqref="H2 H3 H4" showDropDown="0" showInputMessage="0" showErrorMessage="0" allowBlank="0" type="list">
      <formula1>"On track,At risk,Delayed,Not started,Done"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3" customWidth="1" min="3" max="3"/>
    <col width="11" customWidth="1" min="4" max="4"/>
    <col width="16" customWidth="1" min="5" max="5"/>
    <col width="15" customWidth="1" min="6" max="6"/>
    <col width="15" customWidth="1" min="7" max="7"/>
    <col width="12" customWidth="1" min="8" max="8"/>
    <col width="18" customWidth="1" min="9" max="9"/>
    <col width="24" customWidth="1" min="10" max="10"/>
  </cols>
  <sheetData>
    <row r="1">
      <c r="A1" s="3" t="inlineStr">
        <is>
          <t>ProjectID</t>
        </is>
      </c>
      <c r="B1" s="3" t="inlineStr">
        <is>
          <t>Title</t>
        </is>
      </c>
      <c r="C1" s="3" t="inlineStr">
        <is>
          <t>Budget_MTHB</t>
        </is>
      </c>
      <c r="D1" s="3" t="inlineStr">
        <is>
          <t>Spent_PM</t>
        </is>
      </c>
      <c r="E1" s="3" t="inlineStr">
        <is>
          <t>Spent_Confirmed</t>
        </is>
      </c>
      <c r="F1" s="3" t="inlineStr">
        <is>
          <t>Forecast_MTHB</t>
        </is>
      </c>
      <c r="G1" s="3" t="inlineStr">
        <is>
          <t>Variance_MTHB</t>
        </is>
      </c>
      <c r="H1" s="3" t="inlineStr">
        <is>
          <t>Status</t>
        </is>
      </c>
      <c r="I1" s="3" t="inlineStr">
        <is>
          <t>LastEditedBy</t>
        </is>
      </c>
      <c r="J1" s="3" t="inlineStr">
        <is>
          <t>Note</t>
        </is>
      </c>
    </row>
    <row r="2">
      <c r="A2" t="inlineStr">
        <is>
          <t>PRJ-103</t>
        </is>
      </c>
      <c r="B2" t="inlineStr">
        <is>
          <t>ปรับปรุงถนนขนส่งในเหมือง</t>
        </is>
      </c>
      <c r="C2" t="n">
        <v>31</v>
      </c>
      <c r="D2" t="n">
        <v>11.4</v>
      </c>
      <c r="E2" t="n">
        <v>11.1</v>
      </c>
      <c r="F2" t="n">
        <v>30.7</v>
      </c>
      <c r="G2">
        <f>F2-C2</f>
        <v/>
      </c>
      <c r="H2" t="inlineStr">
        <is>
          <t>On track</t>
        </is>
      </c>
      <c r="I2" t="inlineStr">
        <is>
          <t>มะลิ ฝึกงาน</t>
        </is>
      </c>
      <c r="J2" t="inlineStr"/>
    </row>
    <row r="3">
      <c r="A3" t="inlineStr">
        <is>
          <t>PRJ-109</t>
        </is>
      </c>
      <c r="B3" t="inlineStr">
        <is>
          <t>Digital permit-to-work</t>
        </is>
      </c>
      <c r="C3" t="n">
        <v>6.8</v>
      </c>
      <c r="D3" t="n">
        <v>3.9</v>
      </c>
      <c r="E3" t="n">
        <v>3.7</v>
      </c>
      <c r="F3" t="n">
        <v>7.2</v>
      </c>
      <c r="G3">
        <f>F3-C3</f>
        <v/>
      </c>
      <c r="H3" t="inlineStr">
        <is>
          <t>On track</t>
        </is>
      </c>
      <c r="I3" t="inlineStr">
        <is>
          <t>วิไลวรรณ สมมติ</t>
        </is>
      </c>
      <c r="J3" t="inlineStr"/>
    </row>
    <row r="4">
      <c r="A4" s="4" t="inlineStr">
        <is>
          <t>รวม</t>
        </is>
      </c>
      <c r="B4" s="4" t="inlineStr"/>
      <c r="C4" s="4">
        <f>SUM(C2:C3)</f>
        <v/>
      </c>
      <c r="D4" s="4">
        <f>SUM(D2:D3)</f>
        <v/>
      </c>
      <c r="E4" s="4">
        <f>SUM(E2:E3)</f>
        <v/>
      </c>
      <c r="F4" s="4">
        <f>SUM(F2:F3)</f>
        <v/>
      </c>
      <c r="G4" s="4">
        <f>SUM(G2:G3)</f>
        <v/>
      </c>
      <c r="H4" s="4" t="n"/>
      <c r="I4" s="4" t="n"/>
      <c r="J4" s="4" t="n"/>
    </row>
  </sheetData>
  <dataValidations count="1">
    <dataValidation sqref="H2 H3 H4" showDropDown="0" showInputMessage="0" showErrorMessage="0" allowBlank="0" type="list">
      <formula1>"On track,At risk,Delayed,Not started,Done"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3" customWidth="1" min="3" max="3"/>
    <col width="11" customWidth="1" min="4" max="4"/>
    <col width="16" customWidth="1" min="5" max="5"/>
    <col width="15" customWidth="1" min="6" max="6"/>
    <col width="15" customWidth="1" min="7" max="7"/>
    <col width="12" customWidth="1" min="8" max="8"/>
    <col width="18" customWidth="1" min="9" max="9"/>
    <col width="24" customWidth="1" min="10" max="10"/>
  </cols>
  <sheetData>
    <row r="1">
      <c r="A1" s="3" t="inlineStr">
        <is>
          <t>ProjectID</t>
        </is>
      </c>
      <c r="B1" s="3" t="inlineStr">
        <is>
          <t>Title</t>
        </is>
      </c>
      <c r="C1" s="3" t="inlineStr">
        <is>
          <t>Budget_MTHB</t>
        </is>
      </c>
      <c r="D1" s="3" t="inlineStr">
        <is>
          <t>Spent_PM</t>
        </is>
      </c>
      <c r="E1" s="3" t="inlineStr">
        <is>
          <t>Spent_Confirmed</t>
        </is>
      </c>
      <c r="F1" s="3" t="inlineStr">
        <is>
          <t>Forecast_MTHB</t>
        </is>
      </c>
      <c r="G1" s="3" t="inlineStr">
        <is>
          <t>Variance_MTHB</t>
        </is>
      </c>
      <c r="H1" s="3" t="inlineStr">
        <is>
          <t>Status</t>
        </is>
      </c>
      <c r="I1" s="3" t="inlineStr">
        <is>
          <t>LastEditedBy</t>
        </is>
      </c>
      <c r="J1" s="3" t="inlineStr">
        <is>
          <t>Note</t>
        </is>
      </c>
    </row>
    <row r="2">
      <c r="A2" t="inlineStr">
        <is>
          <t>PRJ-104</t>
        </is>
      </c>
      <c r="B2" t="inlineStr">
        <is>
          <t>ระบบบำบัดน้ำทิ้งเฟส 2</t>
        </is>
      </c>
      <c r="C2" t="n">
        <v>26.4</v>
      </c>
      <c r="D2" t="n">
        <v>11.1</v>
      </c>
      <c r="E2" t="n">
        <v>10.7</v>
      </c>
      <c r="F2" t="n">
        <v>26.9</v>
      </c>
      <c r="G2">
        <f>F2-C2</f>
        <v/>
      </c>
      <c r="H2" t="inlineStr">
        <is>
          <t>Delayed</t>
        </is>
      </c>
      <c r="I2" t="inlineStr">
        <is>
          <t>มะลิ ฝึกงาน</t>
        </is>
      </c>
      <c r="J2" t="inlineStr"/>
    </row>
    <row r="3">
      <c r="A3" t="inlineStr">
        <is>
          <t>PRJ-112</t>
        </is>
      </c>
      <c r="B3" t="inlineStr">
        <is>
          <t>ซ่อมบำรุงใหญ่รถขุด EX-07</t>
        </is>
      </c>
      <c r="C3" t="n">
        <v>15.6</v>
      </c>
      <c r="D3" t="n">
        <v>8.800000000000001</v>
      </c>
      <c r="E3" t="n">
        <v>8.699999999999999</v>
      </c>
      <c r="F3" t="n">
        <v>16.2</v>
      </c>
      <c r="G3">
        <f>F3-C3</f>
        <v/>
      </c>
      <c r="H3" t="inlineStr">
        <is>
          <t>At risk</t>
        </is>
      </c>
      <c r="I3" t="inlineStr">
        <is>
          <t>มะลิ ฝึกงาน</t>
        </is>
      </c>
      <c r="J3" t="inlineStr"/>
    </row>
    <row r="4">
      <c r="A4" s="4" t="inlineStr">
        <is>
          <t>รวม</t>
        </is>
      </c>
      <c r="B4" s="4" t="inlineStr"/>
      <c r="C4" s="4">
        <f>SUM(C2:C3)</f>
        <v/>
      </c>
      <c r="D4" s="4">
        <f>SUM(D2:D3)</f>
        <v/>
      </c>
      <c r="E4" s="4">
        <f>SUM(E2:E3)</f>
        <v/>
      </c>
      <c r="F4" s="4">
        <f>SUM(F2:F3)</f>
        <v/>
      </c>
      <c r="G4" s="4">
        <f>SUM(G2:G3)</f>
        <v/>
      </c>
      <c r="H4" s="4" t="n"/>
      <c r="I4" s="4" t="n"/>
      <c r="J4" s="4" t="n"/>
    </row>
  </sheetData>
  <dataValidations count="1">
    <dataValidation sqref="H2 H3 H4" showDropDown="0" showInputMessage="0" showErrorMessage="0" allowBlank="0" type="list">
      <formula1>"On track,At risk,Delayed,Not started,Done"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3" customWidth="1" min="3" max="3"/>
    <col width="11" customWidth="1" min="4" max="4"/>
    <col width="16" customWidth="1" min="5" max="5"/>
    <col width="15" customWidth="1" min="6" max="6"/>
    <col width="15" customWidth="1" min="7" max="7"/>
    <col width="12" customWidth="1" min="8" max="8"/>
    <col width="18" customWidth="1" min="9" max="9"/>
    <col width="24" customWidth="1" min="10" max="10"/>
  </cols>
  <sheetData>
    <row r="1">
      <c r="A1" s="3" t="inlineStr">
        <is>
          <t>ProjectID</t>
        </is>
      </c>
      <c r="B1" s="3" t="inlineStr">
        <is>
          <t>Title</t>
        </is>
      </c>
      <c r="C1" s="3" t="inlineStr">
        <is>
          <t>Budget_MTHB</t>
        </is>
      </c>
      <c r="D1" s="3" t="inlineStr">
        <is>
          <t>Spent_PM</t>
        </is>
      </c>
      <c r="E1" s="3" t="inlineStr">
        <is>
          <t>Spent_Confirmed</t>
        </is>
      </c>
      <c r="F1" s="3" t="inlineStr">
        <is>
          <t>Forecast_MTHB</t>
        </is>
      </c>
      <c r="G1" s="3" t="inlineStr">
        <is>
          <t>Variance_MTHB</t>
        </is>
      </c>
      <c r="H1" s="3" t="inlineStr">
        <is>
          <t>Status</t>
        </is>
      </c>
      <c r="I1" s="3" t="inlineStr">
        <is>
          <t>LastEditedBy</t>
        </is>
      </c>
      <c r="J1" s="3" t="inlineStr">
        <is>
          <t>Note</t>
        </is>
      </c>
    </row>
    <row r="2">
      <c r="A2" t="inlineStr">
        <is>
          <t>PRJ-105</t>
        </is>
      </c>
      <c r="B2" t="inlineStr">
        <is>
          <t>Overhaul หม้อไอน้ำ Unit 2</t>
        </is>
      </c>
      <c r="C2" t="n">
        <v>95</v>
      </c>
      <c r="D2" t="n">
        <v>61.7</v>
      </c>
      <c r="E2" t="n">
        <v>60.6</v>
      </c>
      <c r="F2" t="n">
        <v>95</v>
      </c>
      <c r="G2">
        <f>F2-C2</f>
        <v/>
      </c>
      <c r="H2" t="inlineStr">
        <is>
          <t>On track</t>
        </is>
      </c>
      <c r="I2" t="inlineStr">
        <is>
          <t>กัญญา ตัวอย่าง</t>
        </is>
      </c>
      <c r="J2" t="inlineStr"/>
    </row>
    <row r="3">
      <c r="A3" t="inlineStr">
        <is>
          <t>PRJ-110</t>
        </is>
      </c>
      <c r="B3" t="inlineStr">
        <is>
          <t>ปรับปรุงห้องควบคุม Unit 1</t>
        </is>
      </c>
      <c r="C3" t="n">
        <v>22</v>
      </c>
      <c r="D3" t="n">
        <v>12.4</v>
      </c>
      <c r="E3" t="n">
        <v>12.4</v>
      </c>
      <c r="F3" t="n">
        <v>23.6</v>
      </c>
      <c r="G3">
        <f>F3-C3</f>
        <v/>
      </c>
      <c r="H3" t="inlineStr">
        <is>
          <t>On track</t>
        </is>
      </c>
      <c r="I3" t="inlineStr">
        <is>
          <t>กัญญา ตัวอย่าง</t>
        </is>
      </c>
      <c r="J3" t="inlineStr"/>
    </row>
    <row r="4">
      <c r="A4" s="4" t="inlineStr">
        <is>
          <t>รวม</t>
        </is>
      </c>
      <c r="B4" s="4" t="inlineStr"/>
      <c r="C4" s="4">
        <f>SUM(C2:C3)</f>
        <v/>
      </c>
      <c r="D4" s="4">
        <f>SUM(D2:D3)</f>
        <v/>
      </c>
      <c r="E4" s="4">
        <f>SUM(E2:E3)</f>
        <v/>
      </c>
      <c r="F4" s="4">
        <f>SUM(F2:F3)</f>
        <v/>
      </c>
      <c r="G4" s="4">
        <f>SUM(G2:G3)</f>
        <v/>
      </c>
      <c r="H4" s="4" t="n"/>
      <c r="I4" s="4" t="n"/>
      <c r="J4" s="4" t="n"/>
    </row>
  </sheetData>
  <dataValidations count="1">
    <dataValidation sqref="H2 H3 H4" showDropDown="0" showInputMessage="0" showErrorMessage="0" allowBlank="0" type="list">
      <formula1>"On track,At risk,Delayed,Not started,Done"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3" customWidth="1" min="3" max="3"/>
    <col width="11" customWidth="1" min="4" max="4"/>
    <col width="16" customWidth="1" min="5" max="5"/>
    <col width="15" customWidth="1" min="6" max="6"/>
    <col width="15" customWidth="1" min="7" max="7"/>
    <col width="12" customWidth="1" min="8" max="8"/>
    <col width="18" customWidth="1" min="9" max="9"/>
    <col width="24" customWidth="1" min="10" max="10"/>
  </cols>
  <sheetData>
    <row r="1">
      <c r="A1" s="3" t="inlineStr">
        <is>
          <t>ProjectID</t>
        </is>
      </c>
      <c r="B1" s="3" t="inlineStr">
        <is>
          <t>Title</t>
        </is>
      </c>
      <c r="C1" s="3" t="inlineStr">
        <is>
          <t>Budget_MTHB</t>
        </is>
      </c>
      <c r="D1" s="3" t="inlineStr">
        <is>
          <t>Spent_PM</t>
        </is>
      </c>
      <c r="E1" s="3" t="inlineStr">
        <is>
          <t>Spent_Confirmed</t>
        </is>
      </c>
      <c r="F1" s="3" t="inlineStr">
        <is>
          <t>Forecast_MTHB</t>
        </is>
      </c>
      <c r="G1" s="3" t="inlineStr">
        <is>
          <t>Variance_MTHB</t>
        </is>
      </c>
      <c r="H1" s="3" t="inlineStr">
        <is>
          <t>Status</t>
        </is>
      </c>
      <c r="I1" s="3" t="inlineStr">
        <is>
          <t>LastEditedBy</t>
        </is>
      </c>
      <c r="J1" s="3" t="inlineStr">
        <is>
          <t>Note</t>
        </is>
      </c>
    </row>
    <row r="2">
      <c r="A2" t="inlineStr">
        <is>
          <t>PRJ-106</t>
        </is>
      </c>
      <c r="B2" t="inlineStr">
        <is>
          <t>เปลี่ยน DCS โรงไฟฟ้า</t>
        </is>
      </c>
      <c r="C2" t="n">
        <v>72.3</v>
      </c>
      <c r="D2" t="n">
        <v>20.4</v>
      </c>
      <c r="E2" t="n">
        <v>20</v>
      </c>
      <c r="F2" t="n">
        <v>79.5</v>
      </c>
      <c r="G2">
        <f>F2-C2</f>
        <v/>
      </c>
      <c r="H2" t="inlineStr">
        <is>
          <t>At risk</t>
        </is>
      </c>
      <c r="I2" t="inlineStr">
        <is>
          <t>กัญญา ตัวอย่าง</t>
        </is>
      </c>
      <c r="J2" t="inlineStr"/>
    </row>
    <row r="3">
      <c r="A3" s="4" t="inlineStr">
        <is>
          <t>รวม</t>
        </is>
      </c>
      <c r="B3" s="4" t="inlineStr"/>
      <c r="C3" s="4">
        <f>SUM(C2:C2)</f>
        <v/>
      </c>
      <c r="D3" s="4">
        <f>SUM(D2:D2)</f>
        <v/>
      </c>
      <c r="E3" s="4">
        <f>SUM(E2:E2)</f>
        <v/>
      </c>
      <c r="F3" s="4">
        <f>SUM(F2:F2)</f>
        <v/>
      </c>
      <c r="G3" s="4">
        <f>SUM(G2:G2)</f>
        <v/>
      </c>
      <c r="H3" s="4" t="n"/>
      <c r="I3" s="4" t="n"/>
      <c r="J3" s="4" t="n"/>
    </row>
  </sheetData>
  <dataValidations count="1">
    <dataValidation sqref="H2 H3 H4" showDropDown="0" showInputMessage="0" showErrorMessage="0" allowBlank="0" type="list">
      <formula1>"On track,At risk,Delayed,Not started,Done"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3" customWidth="1" min="3" max="3"/>
    <col width="11" customWidth="1" min="4" max="4"/>
    <col width="16" customWidth="1" min="5" max="5"/>
    <col width="15" customWidth="1" min="6" max="6"/>
    <col width="15" customWidth="1" min="7" max="7"/>
    <col width="12" customWidth="1" min="8" max="8"/>
    <col width="18" customWidth="1" min="9" max="9"/>
    <col width="24" customWidth="1" min="10" max="10"/>
  </cols>
  <sheetData>
    <row r="1">
      <c r="A1" s="3" t="inlineStr">
        <is>
          <t>ProjectID</t>
        </is>
      </c>
      <c r="B1" s="3" t="inlineStr">
        <is>
          <t>Title</t>
        </is>
      </c>
      <c r="C1" s="3" t="inlineStr">
        <is>
          <t>Budget_MTHB</t>
        </is>
      </c>
      <c r="D1" s="3" t="inlineStr">
        <is>
          <t>Spent_PM</t>
        </is>
      </c>
      <c r="E1" s="3" t="inlineStr">
        <is>
          <t>Spent_Confirmed</t>
        </is>
      </c>
      <c r="F1" s="3" t="inlineStr">
        <is>
          <t>Forecast_MTHB</t>
        </is>
      </c>
      <c r="G1" s="3" t="inlineStr">
        <is>
          <t>Variance_MTHB</t>
        </is>
      </c>
      <c r="H1" s="3" t="inlineStr">
        <is>
          <t>Status</t>
        </is>
      </c>
      <c r="I1" s="3" t="inlineStr">
        <is>
          <t>LastEditedBy</t>
        </is>
      </c>
      <c r="J1" s="3" t="inlineStr">
        <is>
          <t>Note</t>
        </is>
      </c>
    </row>
    <row r="2">
      <c r="A2" t="inlineStr">
        <is>
          <t>PRJ-107</t>
        </is>
      </c>
      <c r="B2" t="inlineStr">
        <is>
          <t>เปลี่ยน inverter ชุด 4–6</t>
        </is>
      </c>
      <c r="C2" t="n">
        <v>18.9</v>
      </c>
      <c r="D2" t="n">
        <v>9.4</v>
      </c>
      <c r="E2" t="n">
        <v>9.1</v>
      </c>
      <c r="F2" t="n">
        <v>18.4</v>
      </c>
      <c r="G2">
        <f>F2-C2</f>
        <v/>
      </c>
      <c r="H2" t="inlineStr">
        <is>
          <t>On track</t>
        </is>
      </c>
      <c r="I2" t="inlineStr">
        <is>
          <t>ประวิทย์ จำลอง</t>
        </is>
      </c>
      <c r="J2" t="inlineStr"/>
    </row>
    <row r="3">
      <c r="A3" t="inlineStr">
        <is>
          <t>PRJ-108</t>
        </is>
      </c>
      <c r="B3" t="inlineStr">
        <is>
          <t>ติดตั้งแบตเตอรี่สำรอง (BESS) นำร่อง</t>
        </is>
      </c>
      <c r="C3" t="n">
        <v>64</v>
      </c>
      <c r="D3" t="n">
        <v>3.2</v>
      </c>
      <c r="E3" t="n">
        <v>3.1</v>
      </c>
      <c r="F3" t="n">
        <v>64.7</v>
      </c>
      <c r="G3">
        <f>F3-C3</f>
        <v/>
      </c>
      <c r="H3" t="inlineStr">
        <is>
          <t>Not started</t>
        </is>
      </c>
      <c r="I3" t="inlineStr">
        <is>
          <t>ประวิทย์ จำลอง</t>
        </is>
      </c>
      <c r="J3" t="inlineStr"/>
    </row>
    <row r="4">
      <c r="A4" t="inlineStr">
        <is>
          <t>PRJ-111</t>
        </is>
      </c>
      <c r="B4" t="inlineStr">
        <is>
          <t>ระบบพยากรณ์ผลผลิตโซลาร์</t>
        </is>
      </c>
      <c r="C4" t="n">
        <v>4.2</v>
      </c>
      <c r="D4" t="n">
        <v>1.2</v>
      </c>
      <c r="E4" t="n">
        <v>1.1</v>
      </c>
      <c r="F4" t="n">
        <v>4.3</v>
      </c>
      <c r="G4">
        <f>F4-C4</f>
        <v/>
      </c>
      <c r="H4" t="inlineStr">
        <is>
          <t>On track</t>
        </is>
      </c>
      <c r="I4" t="inlineStr">
        <is>
          <t>ประวิทย์ จำลอง</t>
        </is>
      </c>
      <c r="J4" t="inlineStr"/>
    </row>
    <row r="5">
      <c r="A5" s="4" t="inlineStr">
        <is>
          <t>รวม</t>
        </is>
      </c>
      <c r="B5" s="4" t="inlineStr"/>
      <c r="C5" s="4">
        <f>SUM(C2:C4)</f>
        <v/>
      </c>
      <c r="D5" s="4">
        <f>SUM(D2:D4)</f>
        <v/>
      </c>
      <c r="E5" s="4">
        <f>SUM(E2:E4)</f>
        <v/>
      </c>
      <c r="F5" s="4">
        <f>SUM(F2:F4)</f>
        <v/>
      </c>
      <c r="G5" s="4">
        <f>SUM(G2:G4)</f>
        <v/>
      </c>
      <c r="H5" s="4" t="n"/>
      <c r="I5" s="4" t="n"/>
      <c r="J5" s="4" t="n"/>
    </row>
  </sheetData>
  <dataValidations count="1">
    <dataValidation sqref="H2 H3 H4" showDropDown="0" showInputMessage="0" showErrorMessage="0" allowBlank="0" type="list">
      <formula1>"On track,At risk,Delayed,Not started,Done"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4" max="4"/>
  </cols>
  <sheetData>
    <row r="1">
      <c r="A1" s="3" t="inlineStr">
        <is>
          <t>When</t>
        </is>
      </c>
      <c r="B1" s="3" t="inlineStr">
        <is>
          <t>Who</t>
        </is>
      </c>
      <c r="C1" s="3" t="inlineStr">
        <is>
          <t>Sheet</t>
        </is>
      </c>
      <c r="D1" s="3" t="inlineStr">
        <is>
          <t>What</t>
        </is>
      </c>
    </row>
    <row r="2">
      <c r="A2" t="inlineStr">
        <is>
          <t>2026-10-26 16:10</t>
        </is>
      </c>
      <c r="B2" t="inlineStr">
        <is>
          <t>กัญญา ตัวอย่าง</t>
        </is>
      </c>
      <c r="C2" t="inlineStr">
        <is>
          <t>Site D</t>
        </is>
      </c>
      <c r="D2" t="inlineStr">
        <is>
          <t>อัปเดต Forecast PRJ-105 หลังพบรอยร้าว</t>
        </is>
      </c>
    </row>
    <row r="3">
      <c r="A3" t="inlineStr">
        <is>
          <t>2026-10-27 09:45</t>
        </is>
      </c>
      <c r="B3" t="inlineStr">
        <is>
          <t>นกน้อย ใจดี</t>
        </is>
      </c>
      <c r="C3" t="inlineStr">
        <is>
          <t>Site E</t>
        </is>
      </c>
      <c r="D3" t="inlineStr">
        <is>
          <t>ยืนยัน Spent_Confirmed ไตรมาส 3</t>
        </is>
      </c>
    </row>
    <row r="4">
      <c r="A4" t="inlineStr">
        <is>
          <t>2026-10-27 14:20</t>
        </is>
      </c>
      <c r="B4" t="inlineStr">
        <is>
          <t>สมศักดิ์ ทดสอบ</t>
        </is>
      </c>
      <c r="C4" t="inlineStr">
        <is>
          <t>Site A</t>
        </is>
      </c>
      <c r="D4" t="inlineStr">
        <is>
          <t>อัปเดต Spent_PM PRJ-101/102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2026-10-30T13:19:02Z</dcterms:created>
  <dcterms:modified xmlns:dcterms="http://purl.org/dc/terms/" xmlns:xsi="http://www.w3.org/2001/XMLSchema-instance" xsi:type="dcterms:W3CDTF">2026-10-30T13:19:02Z</dcterms:modified>
</cp:coreProperties>
</file>